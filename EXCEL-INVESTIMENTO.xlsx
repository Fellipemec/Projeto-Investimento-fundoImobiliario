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33e72626d6f5e/Documentos/Projetos/Desafio do felipao/"/>
    </mc:Choice>
  </mc:AlternateContent>
  <xr:revisionPtr revIDLastSave="343" documentId="8_{3E28DE19-6B34-47F2-8182-BA6E7CE3F4CA}" xr6:coauthVersionLast="47" xr6:coauthVersionMax="47" xr10:uidLastSave="{D04A5A6A-A884-4387-B8D8-7214BFDEFE19}"/>
  <bookViews>
    <workbookView xWindow="-108" yWindow="-108" windowWidth="23256" windowHeight="12456" xr2:uid="{14D3A218-E6F6-4EF0-8002-B7EC1D6CE586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A11" i="2"/>
  <c r="A12" i="2"/>
  <c r="A13" i="2"/>
  <c r="A14" i="2"/>
  <c r="A15" i="2"/>
  <c r="A16" i="2"/>
  <c r="A17" i="2"/>
  <c r="A18" i="2"/>
  <c r="A19" i="2"/>
  <c r="A20" i="2"/>
  <c r="A21" i="2"/>
  <c r="A22" i="2"/>
  <c r="A6" i="2"/>
  <c r="A7" i="2"/>
  <c r="A8" i="2"/>
  <c r="A9" i="2"/>
  <c r="A10" i="2"/>
  <c r="A5" i="2"/>
  <c r="D20" i="1"/>
  <c r="D21" i="1" s="1"/>
  <c r="D14" i="1"/>
  <c r="C28" i="1"/>
  <c r="D28" i="1" s="1"/>
  <c r="C25" i="1"/>
  <c r="D25" i="1" s="1"/>
  <c r="C26" i="1"/>
  <c r="D26" i="1" s="1"/>
  <c r="C27" i="1"/>
  <c r="D27" i="1" s="1"/>
  <c r="C24" i="1"/>
  <c r="D24" i="1" s="1"/>
  <c r="D42" i="1" l="1"/>
</calcChain>
</file>

<file path=xl/sharedStrings.xml><?xml version="1.0" encoding="utf-8"?>
<sst xmlns="http://schemas.openxmlformats.org/spreadsheetml/2006/main" count="81" uniqueCount="32">
  <si>
    <t>Quanto investir por mês?</t>
  </si>
  <si>
    <t>Por quantos anos?</t>
  </si>
  <si>
    <t>Taxa de Rendimento Mensal?</t>
  </si>
  <si>
    <t>Patrimônio Acumulativo?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</si>
  <si>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</si>
  <si>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</si>
  <si>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</si>
  <si>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</si>
  <si>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</si>
  <si>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</si>
  <si>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Cenários</t>
  </si>
  <si>
    <t>Dividendo</t>
  </si>
  <si>
    <t>Configurações</t>
  </si>
  <si>
    <t>Rendimento Carteira</t>
  </si>
  <si>
    <t>Salario</t>
  </si>
  <si>
    <t>Sugestão de investimento</t>
  </si>
  <si>
    <t>Conservador</t>
  </si>
  <si>
    <t>VALOR A SER INVESTIDO POR MÊS</t>
  </si>
  <si>
    <t>PERFIL</t>
  </si>
  <si>
    <t>TIPO DE FII</t>
  </si>
  <si>
    <t>Percentual 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</si>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</sst>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2"/>
      <color theme="1"/>
      <name val="Segoe UI"/>
      <family val="2"/>
    </font>
    <font>
      <b/>
      <sz val="13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8" fillId="7" borderId="0" applyNumberFormat="0" applyBorder="0" applyAlignment="0" applyProtection="0"/>
  </cellStyleXfs>
  <cellXfs count="55">
    <xf numFmtId="0" fontId="0" fillId="0" borderId="0" xfId="0"/>
    <xf numFmtId="0" fontId="3" fillId="2" borderId="5" xfId="0" applyFont="1" applyFill="1" applyBorder="1"/>
    <xf numFmtId="164" fontId="7" fillId="0" borderId="2" xfId="1" applyNumberFormat="1" applyFont="1" applyBorder="1" applyAlignment="1">
      <alignment horizontal="left"/>
    </xf>
    <xf numFmtId="10" fontId="7" fillId="0" borderId="2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0" fontId="6" fillId="4" borderId="15" xfId="0" applyFont="1" applyFill="1" applyBorder="1" applyAlignment="1">
      <alignment horizontal="left" indent="5"/>
    </xf>
    <xf numFmtId="164" fontId="7" fillId="4" borderId="16" xfId="0" applyNumberFormat="1" applyFont="1" applyFill="1" applyBorder="1"/>
    <xf numFmtId="164" fontId="7" fillId="4" borderId="17" xfId="0" applyNumberFormat="1" applyFont="1" applyFill="1" applyBorder="1"/>
    <xf numFmtId="0" fontId="6" fillId="4" borderId="18" xfId="0" applyFont="1" applyFill="1" applyBorder="1" applyAlignment="1">
      <alignment horizontal="left" indent="5"/>
    </xf>
    <xf numFmtId="164" fontId="7" fillId="4" borderId="19" xfId="0" applyNumberFormat="1" applyFont="1" applyFill="1" applyBorder="1"/>
    <xf numFmtId="164" fontId="7" fillId="4" borderId="20" xfId="0" applyNumberFormat="1" applyFont="1" applyFill="1" applyBorder="1"/>
    <xf numFmtId="0" fontId="2" fillId="4" borderId="21" xfId="0" applyFont="1" applyFill="1" applyBorder="1"/>
    <xf numFmtId="164" fontId="0" fillId="4" borderId="22" xfId="0" applyNumberFormat="1" applyFill="1" applyBorder="1"/>
    <xf numFmtId="164" fontId="0" fillId="4" borderId="23" xfId="0" applyNumberFormat="1" applyFill="1" applyBorder="1"/>
    <xf numFmtId="0" fontId="8" fillId="7" borderId="0" xfId="2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0" fontId="9" fillId="8" borderId="0" xfId="0" applyFont="1" applyFill="1" applyAlignment="1">
      <alignment horizontal="center"/>
    </xf>
    <xf numFmtId="0" fontId="9" fillId="8" borderId="0" xfId="0" applyFont="1" applyFill="1"/>
    <xf numFmtId="164" fontId="9" fillId="8" borderId="0" xfId="0" applyNumberFormat="1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left" indent="5"/>
    </xf>
    <xf numFmtId="0" fontId="6" fillId="6" borderId="10" xfId="0" applyFont="1" applyFill="1" applyBorder="1" applyAlignment="1">
      <alignment horizontal="left" indent="5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indent="5"/>
    </xf>
    <xf numFmtId="0" fontId="6" fillId="6" borderId="11" xfId="0" applyFont="1" applyFill="1" applyBorder="1" applyAlignment="1">
      <alignment horizontal="left" indent="5"/>
    </xf>
    <xf numFmtId="0" fontId="6" fillId="6" borderId="3" xfId="0" applyFont="1" applyFill="1" applyBorder="1" applyAlignment="1">
      <alignment horizontal="left" indent="5"/>
    </xf>
    <xf numFmtId="0" fontId="6" fillId="6" borderId="12" xfId="0" applyFont="1" applyFill="1" applyBorder="1" applyAlignment="1">
      <alignment horizontal="left" indent="5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6" fillId="0" borderId="9" xfId="0" applyFont="1" applyBorder="1" applyAlignment="1">
      <alignment horizontal="left" indent="5"/>
    </xf>
    <xf numFmtId="0" fontId="6" fillId="0" borderId="10" xfId="0" applyFont="1" applyBorder="1" applyAlignment="1">
      <alignment horizontal="left" indent="5"/>
    </xf>
    <xf numFmtId="0" fontId="6" fillId="0" borderId="1" xfId="0" applyFont="1" applyBorder="1" applyAlignment="1">
      <alignment horizontal="left" indent="5"/>
    </xf>
    <xf numFmtId="0" fontId="6" fillId="0" borderId="11" xfId="0" applyFont="1" applyBorder="1" applyAlignment="1">
      <alignment horizontal="left" indent="5"/>
    </xf>
    <xf numFmtId="0" fontId="0" fillId="0" borderId="24" xfId="0" applyBorder="1"/>
    <xf numFmtId="0" fontId="0" fillId="0" borderId="24" xfId="0" applyBorder="1" applyAlignment="1">
      <alignment horizontal="center"/>
    </xf>
    <xf numFmtId="9" fontId="0" fillId="0" borderId="24" xfId="0" applyNumberFormat="1" applyBorder="1"/>
    <xf numFmtId="0" fontId="10" fillId="9" borderId="0" xfId="0" applyFont="1" applyFill="1"/>
    <xf numFmtId="0" fontId="10" fillId="9" borderId="0" xfId="0" applyFont="1" applyFill="1" applyAlignment="1">
      <alignment horizontal="center"/>
    </xf>
    <xf numFmtId="0" fontId="9" fillId="6" borderId="0" xfId="0" applyFont="1" applyFill="1"/>
    <xf numFmtId="164" fontId="9" fillId="6" borderId="0" xfId="0" applyNumberFormat="1" applyFont="1" applyFill="1"/>
    <xf numFmtId="0" fontId="11" fillId="3" borderId="1" xfId="0" applyFont="1" applyFill="1" applyBorder="1" applyAlignment="1">
      <alignment horizontal="left" indent="5"/>
    </xf>
    <xf numFmtId="0" fontId="11" fillId="3" borderId="11" xfId="0" applyFont="1" applyFill="1" applyBorder="1" applyAlignment="1">
      <alignment horizontal="left" indent="5"/>
    </xf>
    <xf numFmtId="8" fontId="11" fillId="3" borderId="2" xfId="0" applyNumberFormat="1" applyFont="1" applyFill="1" applyBorder="1" applyAlignment="1">
      <alignment horizontal="center"/>
    </xf>
    <xf numFmtId="0" fontId="12" fillId="3" borderId="3" xfId="0" applyFont="1" applyFill="1" applyBorder="1" applyAlignment="1">
      <alignment horizontal="left" indent="5"/>
    </xf>
    <xf numFmtId="0" fontId="12" fillId="3" borderId="12" xfId="0" applyFont="1" applyFill="1" applyBorder="1" applyAlignment="1">
      <alignment horizontal="left" indent="5"/>
    </xf>
    <xf numFmtId="8" fontId="11" fillId="3" borderId="4" xfId="0" applyNumberFormat="1" applyFon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472440</xdr:colOff>
      <xdr:row>1</xdr:row>
      <xdr:rowOff>129540</xdr:rowOff>
    </xdr:from>
    <xdr:to>
      <xdr:col>4</xdr:col>
      <xdr:colOff>121920</xdr:colOff>
      <xdr:row>8</xdr:row>
      <xdr:rowOff>45824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36C55E-28CE-9FD4-7E39-14AC87C08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312420"/>
          <a:ext cx="5120640" cy="11964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9FA5-CD8E-4EBE-B56B-A824C445CA6E}">
  <dimension ref="A10:D42"/>
  <sheetViews>
    <sheetView showGridLines="0" tabSelected="1" topLeftCell="A14" zoomScale="130" zoomScaleNormal="130" workbookViewId="0">
      <selection activeCell="G20" sqref="G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8.88671875" customWidth="1"/>
    <col min="2" max="2" width="38.33203125" bestFit="1" customWidth="1"/>
    <col min="3" max="3" width="19.33203125" customWidth="1"/>
    <col min="4" max="4" width="13.21875" bestFit="1" customWidth="1"/>
    <col min="5" max="5" width="21.88671875" bestFit="1" customWidth="1"/>
    <col min="6" max="6" width="14" customWidth="1"/>
  </cols>
  <sheetData>
    <row r="10" spans="2:4" ht="15" thickBot="1" x14ac:dyDescent="0.35"/>
    <row r="11" spans="2:4" ht="23.4" x14ac:dyDescent="0.45">
      <c r="B11" s="29" t="s">
        <v>12</v>
      </c>
      <c r="C11" s="30"/>
      <c r="D11" s="31"/>
    </row>
    <row r="12" spans="2:4" ht="19.2" x14ac:dyDescent="0.45">
      <c r="B12" s="27" t="s">
        <v>14</v>
      </c>
      <c r="C12" s="28"/>
      <c r="D12" s="2">
        <v>5000</v>
      </c>
    </row>
    <row r="13" spans="2:4" ht="19.2" x14ac:dyDescent="0.45">
      <c r="B13" s="32" t="s">
        <v>13</v>
      </c>
      <c r="C13" s="33"/>
      <c r="D13" s="3">
        <v>8.8999999999999999E-3</v>
      </c>
    </row>
    <row r="14" spans="2:4" ht="19.8" thickBot="1" x14ac:dyDescent="0.5">
      <c r="B14" s="34" t="s">
        <v>15</v>
      </c>
      <c r="C14" s="35"/>
      <c r="D14" s="4">
        <f>D12*30%</f>
        <v>1500</v>
      </c>
    </row>
    <row r="15" spans="2:4" ht="15" thickBot="1" x14ac:dyDescent="0.35"/>
    <row r="16" spans="2:4" ht="29.4" customHeight="1" x14ac:dyDescent="0.5">
      <c r="B16" s="24" t="s">
        <v>5</v>
      </c>
      <c r="C16" s="25"/>
      <c r="D16" s="26"/>
    </row>
    <row r="17" spans="1:4" ht="19.2" x14ac:dyDescent="0.45">
      <c r="B17" s="38" t="s">
        <v>0</v>
      </c>
      <c r="C17" s="39"/>
      <c r="D17" s="5">
        <v>50</v>
      </c>
    </row>
    <row r="18" spans="1:4" ht="19.2" x14ac:dyDescent="0.45">
      <c r="B18" s="40" t="s">
        <v>1</v>
      </c>
      <c r="C18" s="41"/>
      <c r="D18" s="6">
        <v>5</v>
      </c>
    </row>
    <row r="19" spans="1:4" ht="19.2" x14ac:dyDescent="0.45">
      <c r="B19" s="40" t="s">
        <v>2</v>
      </c>
      <c r="C19" s="41"/>
      <c r="D19" s="7">
        <v>1.0789999999999999E-2</v>
      </c>
    </row>
    <row r="20" spans="1:4" ht="19.2" x14ac:dyDescent="0.45">
      <c r="B20" s="49" t="s">
        <v>3</v>
      </c>
      <c r="C20" s="50"/>
      <c r="D20" s="51">
        <f>FV(taxa_mensal,qtd_anos*12,aporte*-1)</f>
        <v>4188.8456999243817</v>
      </c>
    </row>
    <row r="21" spans="1:4" ht="20.399999999999999" thickBot="1" x14ac:dyDescent="0.5">
      <c r="B21" s="52" t="s">
        <v>4</v>
      </c>
      <c r="C21" s="53"/>
      <c r="D21" s="54">
        <f>patrimonio*rendimento_carteira</f>
        <v>37.280726729327</v>
      </c>
    </row>
    <row r="22" spans="1:4" ht="15" thickBot="1" x14ac:dyDescent="0.35"/>
    <row r="23" spans="1:4" ht="26.4" thickBot="1" x14ac:dyDescent="0.55000000000000004">
      <c r="B23" s="36" t="s">
        <v>10</v>
      </c>
      <c r="C23" s="37"/>
      <c r="D23" s="1" t="s">
        <v>11</v>
      </c>
    </row>
    <row r="24" spans="1:4" ht="19.2" x14ac:dyDescent="0.45">
      <c r="A24">
        <v>2</v>
      </c>
      <c r="B24" s="8" t="s">
        <v>6</v>
      </c>
      <c r="C24" s="9">
        <f>FV($D$19,A24*12,$D$17*-1)</f>
        <v>1361.3813648822609</v>
      </c>
      <c r="D24" s="10">
        <f>C24*rendimento_carteira</f>
        <v>12.116294147452122</v>
      </c>
    </row>
    <row r="25" spans="1:4" ht="19.2" x14ac:dyDescent="0.45">
      <c r="A25">
        <v>5</v>
      </c>
      <c r="B25" s="11" t="s">
        <v>7</v>
      </c>
      <c r="C25" s="12">
        <f>FV($D$19,A25*12,$D$17*-1)</f>
        <v>4188.8456999243817</v>
      </c>
      <c r="D25" s="13">
        <f>C25*rendimento_carteira</f>
        <v>37.280726729327</v>
      </c>
    </row>
    <row r="26" spans="1:4" ht="19.2" x14ac:dyDescent="0.45">
      <c r="A26">
        <v>10</v>
      </c>
      <c r="B26" s="11" t="s">
        <v>8</v>
      </c>
      <c r="C26" s="12">
        <f>FV($D$19,A26*12,$D$17*-1)</f>
        <v>12164.210626508609</v>
      </c>
      <c r="D26" s="13">
        <f>C26*rendimento_carteira</f>
        <v>108.26147457592663</v>
      </c>
    </row>
    <row r="27" spans="1:4" ht="19.2" x14ac:dyDescent="0.45">
      <c r="A27">
        <v>20</v>
      </c>
      <c r="B27" s="11" t="s">
        <v>9</v>
      </c>
      <c r="C27" s="12">
        <f>FV($D$19,A27*12,$D$17*-1)</f>
        <v>56259.92000485403</v>
      </c>
      <c r="D27" s="13">
        <f>C27*rendimento_carteira</f>
        <v>500.71328804320086</v>
      </c>
    </row>
    <row r="28" spans="1:4" ht="16.2" thickBot="1" x14ac:dyDescent="0.35">
      <c r="A28">
        <v>30</v>
      </c>
      <c r="B28" s="14" t="s">
        <v>9</v>
      </c>
      <c r="C28" s="15">
        <f>FV($D$19,A$28*12,$D$17*-1)</f>
        <v>216108.48275023574</v>
      </c>
      <c r="D28" s="16">
        <f>C28*rendimento_carteira</f>
        <v>1923.3654964770981</v>
      </c>
    </row>
    <row r="32" spans="1:4" x14ac:dyDescent="0.3">
      <c r="B32" s="17" t="s">
        <v>18</v>
      </c>
      <c r="C32" s="17" t="s">
        <v>30</v>
      </c>
      <c r="D32" s="17"/>
    </row>
    <row r="33" spans="2:4" x14ac:dyDescent="0.3">
      <c r="B33" s="47" t="s">
        <v>17</v>
      </c>
      <c r="C33" s="48">
        <v>500</v>
      </c>
      <c r="D33" s="47"/>
    </row>
    <row r="35" spans="2:4" x14ac:dyDescent="0.3">
      <c r="B35" s="21" t="s">
        <v>19</v>
      </c>
      <c r="C35" s="22" t="s">
        <v>20</v>
      </c>
      <c r="D35" s="22" t="s">
        <v>21</v>
      </c>
    </row>
    <row r="36" spans="2:4" x14ac:dyDescent="0.3">
      <c r="B36" s="19" t="s">
        <v>22</v>
      </c>
      <c r="C36" s="20">
        <f>VLOOKUP($C$32&amp;"-"&amp;B36,Planilha2!$A:$D,4,FALSE)</f>
        <v>0.32</v>
      </c>
      <c r="D36" s="18">
        <f>C36*$C$33</f>
        <v>160</v>
      </c>
    </row>
    <row r="37" spans="2:4" x14ac:dyDescent="0.3">
      <c r="B37" s="19" t="s">
        <v>23</v>
      </c>
      <c r="C37" s="20">
        <f>VLOOKUP($C$32&amp;"-"&amp;B37,Planilha2!$A:$D,4,FALSE)</f>
        <v>0.35</v>
      </c>
      <c r="D37" s="18">
        <f t="shared" ref="D37:D41" si="0">C37*$C$33</f>
        <v>175</v>
      </c>
    </row>
    <row r="38" spans="2:4" x14ac:dyDescent="0.3">
      <c r="B38" s="19" t="s">
        <v>24</v>
      </c>
      <c r="C38" s="20">
        <f>VLOOKUP($C$32&amp;"-"&amp;B38,Planilha2!$A:$D,4,FALSE)</f>
        <v>0.1</v>
      </c>
      <c r="D38" s="18">
        <f t="shared" si="0"/>
        <v>50</v>
      </c>
    </row>
    <row r="39" spans="2:4" x14ac:dyDescent="0.3">
      <c r="B39" s="19" t="s">
        <v>25</v>
      </c>
      <c r="C39" s="20">
        <f>VLOOKUP($C$32&amp;"-"&amp;B39,Planilha2!$A:$D,4,FALSE)</f>
        <v>0.05</v>
      </c>
      <c r="D39" s="18">
        <f t="shared" si="0"/>
        <v>25</v>
      </c>
    </row>
    <row r="40" spans="2:4" x14ac:dyDescent="0.3">
      <c r="B40" s="19" t="s">
        <v>26</v>
      </c>
      <c r="C40" s="20">
        <f>VLOOKUP($C$32&amp;"-"&amp;B40,Planilha2!$A:$D,4,FALSE)</f>
        <v>0.08</v>
      </c>
      <c r="D40" s="18">
        <f t="shared" si="0"/>
        <v>40</v>
      </c>
    </row>
    <row r="41" spans="2:4" x14ac:dyDescent="0.3">
      <c r="B41" s="19" t="s">
        <v>27</v>
      </c>
      <c r="C41" s="20">
        <f>VLOOKUP($C$32&amp;"-"&amp;B41,Planilha2!$A:$D,4,FALSE)</f>
        <v>0.1</v>
      </c>
      <c r="D41" s="18">
        <f t="shared" si="0"/>
        <v>50</v>
      </c>
    </row>
    <row r="42" spans="2:4" x14ac:dyDescent="0.3">
      <c r="B42" s="22"/>
      <c r="C42" s="22"/>
      <c r="D42" s="23">
        <f>SUM(D36:D41)</f>
        <v>500</v>
      </c>
    </row>
  </sheetData>
  <mergeCells count="11">
    <mergeCell ref="B23:C23"/>
    <mergeCell ref="B17:C17"/>
    <mergeCell ref="B18:C18"/>
    <mergeCell ref="B19:C19"/>
    <mergeCell ref="B20:C20"/>
    <mergeCell ref="B21:C21"/>
    <mergeCell ref="B16:D16"/>
    <mergeCell ref="B12:C12"/>
    <mergeCell ref="B11:D11"/>
    <mergeCell ref="B13:C13"/>
    <mergeCell ref="B14:C14"/>
  </mergeCells>
  <dataValidations count="1">
    <dataValidation type="list" allowBlank="1" showInputMessage="1" showErrorMessage="1" sqref="C32" xr:uid="{6F5083CD-C341-4EB9-BF3D-88B0BF00C36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032A-3E70-4C56-8CA5-3ED638C7FE50}">
  <dimension ref="A4:D22"/>
  <sheetViews>
    <sheetView workbookViewId="0">
      <selection activeCell="F11" sqref="F11"/>
    </sheetView>
  </sheetViews>
  <sheetFormatPr defaultRowHeight="14.4" x14ac:dyDescent="0.3"/>
  <cols>
    <col min="1" max="1" width="17.33203125" bestFit="1" customWidth="1"/>
    <col min="2" max="2" width="11.21875" bestFit="1" customWidth="1"/>
    <col min="3" max="3" width="17.6640625" bestFit="1" customWidth="1"/>
  </cols>
  <sheetData>
    <row r="4" spans="1:4" x14ac:dyDescent="0.3">
      <c r="A4" s="45" t="s">
        <v>29</v>
      </c>
      <c r="B4" s="46" t="s">
        <v>18</v>
      </c>
      <c r="C4" s="46" t="s">
        <v>19</v>
      </c>
      <c r="D4" s="46" t="s">
        <v>28</v>
      </c>
    </row>
    <row r="5" spans="1:4" x14ac:dyDescent="0.3">
      <c r="A5" t="str">
        <f>B5&amp;"-"&amp;C5</f>
        <v>Conservador-PAPEL</v>
      </c>
      <c r="B5" t="s">
        <v>16</v>
      </c>
      <c r="C5" s="19" t="s">
        <v>22</v>
      </c>
      <c r="D5" s="20">
        <v>0.3</v>
      </c>
    </row>
    <row r="6" spans="1:4" x14ac:dyDescent="0.3">
      <c r="A6" t="str">
        <f t="shared" ref="A6:A22" si="0">B6&amp;"-"&amp;C6</f>
        <v>Conservador-TIJOLO</v>
      </c>
      <c r="B6" t="s">
        <v>16</v>
      </c>
      <c r="C6" s="19" t="s">
        <v>23</v>
      </c>
      <c r="D6" s="20">
        <v>0.5</v>
      </c>
    </row>
    <row r="7" spans="1:4" x14ac:dyDescent="0.3">
      <c r="A7" t="str">
        <f t="shared" si="0"/>
        <v>Conservador-HÍBRIDOS</v>
      </c>
      <c r="B7" t="s">
        <v>16</v>
      </c>
      <c r="C7" s="19" t="s">
        <v>24</v>
      </c>
      <c r="D7" s="20">
        <v>0.1</v>
      </c>
    </row>
    <row r="8" spans="1:4" x14ac:dyDescent="0.3">
      <c r="A8" t="str">
        <f t="shared" si="0"/>
        <v>Conservador-FOFs</v>
      </c>
      <c r="B8" t="s">
        <v>16</v>
      </c>
      <c r="C8" s="19" t="s">
        <v>25</v>
      </c>
      <c r="D8" s="20">
        <v>0.1</v>
      </c>
    </row>
    <row r="9" spans="1:4" x14ac:dyDescent="0.3">
      <c r="A9" t="str">
        <f t="shared" si="0"/>
        <v>Conservador-DESENVOLVIMENTO</v>
      </c>
      <c r="B9" t="s">
        <v>16</v>
      </c>
      <c r="C9" s="19" t="s">
        <v>26</v>
      </c>
      <c r="D9" s="20">
        <v>0</v>
      </c>
    </row>
    <row r="10" spans="1:4" ht="15" thickBot="1" x14ac:dyDescent="0.35">
      <c r="A10" s="42" t="str">
        <f t="shared" si="0"/>
        <v>Conservador-HOTELARIAS</v>
      </c>
      <c r="B10" s="42" t="s">
        <v>16</v>
      </c>
      <c r="C10" s="43" t="s">
        <v>27</v>
      </c>
      <c r="D10" s="44">
        <v>0</v>
      </c>
    </row>
    <row r="11" spans="1:4" x14ac:dyDescent="0.3">
      <c r="A11" t="str">
        <f t="shared" si="0"/>
        <v>Moderado-PAPEL</v>
      </c>
      <c r="B11" t="s">
        <v>30</v>
      </c>
      <c r="C11" s="19" t="s">
        <v>22</v>
      </c>
      <c r="D11" s="20">
        <v>0.32</v>
      </c>
    </row>
    <row r="12" spans="1:4" x14ac:dyDescent="0.3">
      <c r="A12" t="str">
        <f t="shared" si="0"/>
        <v>Moderado-TIJOLO</v>
      </c>
      <c r="B12" t="s">
        <v>30</v>
      </c>
      <c r="C12" s="19" t="s">
        <v>23</v>
      </c>
      <c r="D12" s="20">
        <v>0.35</v>
      </c>
    </row>
    <row r="13" spans="1:4" x14ac:dyDescent="0.3">
      <c r="A13" t="str">
        <f t="shared" si="0"/>
        <v>Moderado-HÍBRIDOS</v>
      </c>
      <c r="B13" t="s">
        <v>30</v>
      </c>
      <c r="C13" s="19" t="s">
        <v>24</v>
      </c>
      <c r="D13" s="20">
        <v>0.1</v>
      </c>
    </row>
    <row r="14" spans="1:4" x14ac:dyDescent="0.3">
      <c r="A14" t="str">
        <f t="shared" si="0"/>
        <v>Moderado-FOFs</v>
      </c>
      <c r="B14" t="s">
        <v>30</v>
      </c>
      <c r="C14" s="19" t="s">
        <v>25</v>
      </c>
      <c r="D14" s="20">
        <v>0.05</v>
      </c>
    </row>
    <row r="15" spans="1:4" x14ac:dyDescent="0.3">
      <c r="A15" t="str">
        <f t="shared" si="0"/>
        <v>Moderado-DESENVOLVIMENTO</v>
      </c>
      <c r="B15" t="s">
        <v>30</v>
      </c>
      <c r="C15" s="19" t="s">
        <v>26</v>
      </c>
      <c r="D15" s="20">
        <v>0.08</v>
      </c>
    </row>
    <row r="16" spans="1:4" ht="15" thickBot="1" x14ac:dyDescent="0.35">
      <c r="A16" s="42" t="str">
        <f t="shared" si="0"/>
        <v>Moderado-HOTELARIAS</v>
      </c>
      <c r="B16" s="42" t="s">
        <v>30</v>
      </c>
      <c r="C16" s="43" t="s">
        <v>27</v>
      </c>
      <c r="D16" s="44">
        <v>0.1</v>
      </c>
    </row>
    <row r="17" spans="1:4" x14ac:dyDescent="0.3">
      <c r="A17" t="str">
        <f t="shared" si="0"/>
        <v>Agressivo-PAPEL</v>
      </c>
      <c r="B17" t="s">
        <v>31</v>
      </c>
      <c r="C17" s="19" t="s">
        <v>22</v>
      </c>
      <c r="D17" s="20">
        <v>0.5</v>
      </c>
    </row>
    <row r="18" spans="1:4" x14ac:dyDescent="0.3">
      <c r="A18" t="str">
        <f t="shared" si="0"/>
        <v>Agressivo-TIJOLO</v>
      </c>
      <c r="B18" t="s">
        <v>31</v>
      </c>
      <c r="C18" s="19" t="s">
        <v>23</v>
      </c>
      <c r="D18" s="20">
        <v>0.2</v>
      </c>
    </row>
    <row r="19" spans="1:4" x14ac:dyDescent="0.3">
      <c r="A19" t="str">
        <f t="shared" si="0"/>
        <v>Agressivo-HÍBRIDOS</v>
      </c>
      <c r="B19" t="s">
        <v>31</v>
      </c>
      <c r="C19" s="19" t="s">
        <v>24</v>
      </c>
      <c r="D19" s="20">
        <v>0.05</v>
      </c>
    </row>
    <row r="20" spans="1:4" x14ac:dyDescent="0.3">
      <c r="A20" t="str">
        <f t="shared" si="0"/>
        <v>Agressivo-FOFs</v>
      </c>
      <c r="B20" t="s">
        <v>31</v>
      </c>
      <c r="C20" s="19" t="s">
        <v>25</v>
      </c>
      <c r="D20" s="20">
        <v>0.05</v>
      </c>
    </row>
    <row r="21" spans="1:4" x14ac:dyDescent="0.3">
      <c r="A21" t="str">
        <f t="shared" si="0"/>
        <v>Agressivo-DESENVOLVIMENTO</v>
      </c>
      <c r="B21" t="s">
        <v>31</v>
      </c>
      <c r="C21" s="19" t="s">
        <v>26</v>
      </c>
      <c r="D21" s="20">
        <v>0.1</v>
      </c>
    </row>
    <row r="22" spans="1:4" x14ac:dyDescent="0.3">
      <c r="A22" t="str">
        <f t="shared" si="0"/>
        <v>Agressivo-HOTELARIAS</v>
      </c>
      <c r="B22" t="s">
        <v>31</v>
      </c>
      <c r="C22" s="19" t="s">
        <v>27</v>
      </c>
      <c r="D22" s="2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almeida</dc:creator>
  <cp:lastModifiedBy>michael almeida</cp:lastModifiedBy>
  <dcterms:created xsi:type="dcterms:W3CDTF">2026-09-05T03:07:07Z</dcterms:created>
  <dcterms:modified xsi:type="dcterms:W3CDTF">2026-09-15T23:49:07Z</dcterms:modified>
</cp:coreProperties>
</file>